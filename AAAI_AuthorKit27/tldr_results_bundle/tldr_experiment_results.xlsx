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cf29088f11441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lts_Long" sheetId="1" r:id="Re9376242becb4294"/>
    <x:sheet xmlns:r="http://schemas.openxmlformats.org/officeDocument/2006/relationships" name="F1_Summary" sheetId="2" r:id="R342f09cf27164e68"/>
    <x:sheet xmlns:r="http://schemas.openxmlformats.org/officeDocument/2006/relationships" name="Ranking_Summary" sheetId="3" r:id="Rafa068fb4c734e82"/>
    <x:sheet xmlns:r="http://schemas.openxmlformats.org/officeDocument/2006/relationships" name="Paper_Notes" sheetId="4" r:id="Rb75186f15ed342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EAF3F8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/>
    </x:xf>
    <x:xf numFmtId="200" fontId="0" fillId="3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vertical="center"/>
    </x:xf>
    <x:xf numFmtId="200" fontId="0" fillId="3" borderId="1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/>
    </x:xf>
    <x:xf numFmtId="20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b125edc2d124e8b" /><Relationship Type="http://schemas.openxmlformats.org/officeDocument/2006/relationships/theme" Target="/xl/theme/theme1.xml" Id="R036d12f7037d464f" /><Relationship Type="http://schemas.openxmlformats.org/officeDocument/2006/relationships/sharedStrings" Target="/xl/sharedStrings.xml" Id="Reb97403221b44112" /><Relationship Type="http://schemas.openxmlformats.org/officeDocument/2006/relationships/worksheet" Target="/xl/worksheets/sheet1.xml" Id="Re9376242becb4294" /><Relationship Type="http://schemas.openxmlformats.org/officeDocument/2006/relationships/worksheet" Target="/xl/worksheets/sheet2.xml" Id="R342f09cf27164e68" /><Relationship Type="http://schemas.openxmlformats.org/officeDocument/2006/relationships/worksheet" Target="/xl/worksheets/sheet3.xml" Id="Rafa068fb4c734e82" /><Relationship Type="http://schemas.openxmlformats.org/officeDocument/2006/relationships/worksheet" Target="/xl/worksheets/sheet4.xml" Id="Rb75186f15ed3420d" /></Relationships>
</file>

<file path=xl/tables/table1.xml><?xml version="1.0" encoding="utf-8"?>
<x:table xmlns:x="http://schemas.openxmlformats.org/spreadsheetml/2006/main" id="1" name="ResultsLongTable" displayName="ResultsLongTable" ref="A1:J25" headerRowCount="1">
  <x:tableColumns count="10">
    <x:tableColumn id="1" name="Training Regime"/>
    <x:tableColumn id="2" name="Model"/>
    <x:tableColumn id="3" name="Dataset"/>
    <x:tableColumn id="4" name="F1"/>
    <x:tableColumn id="5" name="Precision"/>
    <x:tableColumn id="6" name="Recall"/>
    <x:tableColumn id="7" name="R@1"/>
    <x:tableColumn id="8" name="R@5"/>
    <x:tableColumn id="9" name="R@10"/>
    <x:tableColumn id="10" name="Data Note"/>
  </x:tableColumns>
  <x:tableStyleInfo name="TableStyleMedium2" showRowStripes="1"/>
</x:table>
</file>

<file path=xl/tables/table2.xml><?xml version="1.0" encoding="utf-8"?>
<x:table xmlns:x="http://schemas.openxmlformats.org/spreadsheetml/2006/main" id="2" name="RankingSummaryTable" displayName="RankingSummaryTable" ref="A1:F25" headerRowCount="1">
  <x:tableColumns count="6">
    <x:tableColumn id="1" name="Training Regime"/>
    <x:tableColumn id="2" name="Dataset"/>
    <x:tableColumn id="3" name="Model"/>
    <x:tableColumn id="4" name="R@1"/>
    <x:tableColumn id="5" name="R@5"/>
    <x:tableColumn id="6" name="R@10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f8e167c2994c8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9ab5ff7138940f0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2" hidden="0" customWidth="1"/>
    <x:col min="3" max="3" width="2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42" hidden="0" customWidth="1"/>
  </x:cols>
  <x:sheetData>
    <x:row r="1">
      <x:c r="A1" s="5" t="str">
        <x:v>Training Regime</x:v>
      </x:c>
      <x:c r="B1" s="5" t="str">
        <x:v>Model</x:v>
      </x:c>
      <x:c r="C1" s="5" t="str">
        <x:v>Dataset</x:v>
      </x:c>
      <x:c r="D1" s="5" t="str">
        <x:v>F1</x:v>
      </x:c>
      <x:c r="E1" s="5" t="str">
        <x:v>Precision</x:v>
      </x:c>
      <x:c r="F1" s="5" t="str">
        <x:v>Recall</x:v>
      </x:c>
      <x:c r="G1" s="5" t="str">
        <x:v>R@1</x:v>
      </x:c>
      <x:c r="H1" s="5" t="str">
        <x:v>R@5</x:v>
      </x:c>
      <x:c r="I1" s="5" t="str">
        <x:v>R@10</x:v>
      </x:c>
      <x:c r="J1" s="5" t="str">
        <x:v>Data Note</x:v>
      </x:c>
    </x:row>
    <x:row r="2">
      <x:c r="A2" s="12" t="str">
        <x:v>ZH+EN</x:v>
      </x:c>
      <x:c r="B2" s="12" t="str">
        <x:v>GLCLAP</x:v>
      </x:c>
      <x:c r="C2" s="12" t="str">
        <x:v>AISHELL1-NE</x:v>
      </x:c>
      <x:c r="D2" s="14" t="n">
        <x:v>93.2</x:v>
      </x:c>
      <x:c r="E2" s="14" t="n">
        <x:v>90.4</x:v>
      </x:c>
      <x:c r="F2" s="14" t="n">
        <x:v>96.2</x:v>
      </x:c>
      <x:c r="G2" s="14" t="n">
        <x:v>96.7</x:v>
      </x:c>
      <x:c r="H2" s="14" t="n">
        <x:v>99</x:v>
      </x:c>
      <x:c r="I2" s="14" t="n">
        <x:v>99.4</x:v>
      </x:c>
      <x:c r="J2" s="16" t="str"/>
    </x:row>
    <x:row r="3">
      <x:c r="A3" s="12" t="str">
        <x:v>ZH+EN</x:v>
      </x:c>
      <x:c r="B3" s="12" t="str">
        <x:v>CLAR</x:v>
      </x:c>
      <x:c r="C3" s="12" t="str">
        <x:v>AISHELL1-NE</x:v>
      </x:c>
      <x:c r="D3" s="14" t="n">
        <x:v>94.5</x:v>
      </x:c>
      <x:c r="E3" s="14" t="n">
        <x:v>93.8</x:v>
      </x:c>
      <x:c r="F3" s="14" t="n">
        <x:v>95.2</x:v>
      </x:c>
      <x:c r="G3" s="14" t="n">
        <x:v>98.8</x:v>
      </x:c>
      <x:c r="H3" s="14" t="n">
        <x:v>99.8</x:v>
      </x:c>
      <x:c r="I3" s="14" t="n">
        <x:v>99.9</x:v>
      </x:c>
      <x:c r="J3" s="16" t="str"/>
    </x:row>
    <x:row r="4">
      <x:c r="A4" s="18" t="str">
        <x:v>ZH+EN</x:v>
      </x:c>
      <x:c r="B4" s="18" t="str">
        <x:v>TLDR</x:v>
      </x:c>
      <x:c r="C4" s="18" t="str">
        <x:v>AISHELL1-NE</x:v>
      </x:c>
      <x:c r="D4" s="19" t="n">
        <x:v>96.2</x:v>
      </x:c>
      <x:c r="E4" s="19" t="n">
        <x:v>96.7</x:v>
      </x:c>
      <x:c r="F4" s="19" t="n">
        <x:v>95.8</x:v>
      </x:c>
      <x:c r="G4" s="19" t="n">
        <x:v>99.1</x:v>
      </x:c>
      <x:c r="H4" s="19" t="n">
        <x:v>99.8</x:v>
      </x:c>
      <x:c r="I4" s="19" t="n">
        <x:v>99.8</x:v>
      </x:c>
      <x:c r="J4" s="20" t="str"/>
    </x:row>
    <x:row r="5">
      <x:c r="A5" s="12" t="str">
        <x:v>ZH+EN</x:v>
      </x:c>
      <x:c r="B5" s="12" t="str">
        <x:v>GLCLAP</x:v>
      </x:c>
      <x:c r="C5" s="12" t="str">
        <x:v>ContextASR-ZH</x:v>
      </x:c>
      <x:c r="D5" s="14" t="n">
        <x:v>90.2</x:v>
      </x:c>
      <x:c r="E5" s="14" t="n">
        <x:v>86.9</x:v>
      </x:c>
      <x:c r="F5" s="14" t="n">
        <x:v>93.6</x:v>
      </x:c>
      <x:c r="G5" s="14" t="n">
        <x:v>98.3</x:v>
      </x:c>
      <x:c r="H5" s="14" t="n">
        <x:v>99.8</x:v>
      </x:c>
      <x:c r="I5" s="14" t="n">
        <x:v>100</x:v>
      </x:c>
      <x:c r="J5" s="16" t="str">
        <x:v>R@5 corrected from source typo "99.8.3" to 99.8.</x:v>
      </x:c>
    </x:row>
    <x:row r="6">
      <x:c r="A6" s="12" t="str">
        <x:v>ZH+EN</x:v>
      </x:c>
      <x:c r="B6" s="12" t="str">
        <x:v>CLAR</x:v>
      </x:c>
      <x:c r="C6" s="12" t="str">
        <x:v>ContextASR-ZH</x:v>
      </x:c>
      <x:c r="D6" s="14" t="n">
        <x:v>94.4</x:v>
      </x:c>
      <x:c r="E6" s="14" t="n">
        <x:v>93.5</x:v>
      </x:c>
      <x:c r="F6" s="14" t="n">
        <x:v>95.3</x:v>
      </x:c>
      <x:c r="G6" s="14" t="n">
        <x:v>100</x:v>
      </x:c>
      <x:c r="H6" s="14" t="n">
        <x:v>100</x:v>
      </x:c>
      <x:c r="I6" s="14" t="n">
        <x:v>100</x:v>
      </x:c>
      <x:c r="J6" s="16" t="str"/>
    </x:row>
    <x:row r="7">
      <x:c r="A7" s="18" t="str">
        <x:v>ZH+EN</x:v>
      </x:c>
      <x:c r="B7" s="18" t="str">
        <x:v>TLDR</x:v>
      </x:c>
      <x:c r="C7" s="18" t="str">
        <x:v>ContextASR-ZH</x:v>
      </x:c>
      <x:c r="D7" s="19" t="n">
        <x:v>96.7</x:v>
      </x:c>
      <x:c r="E7" s="19" t="n">
        <x:v>96</x:v>
      </x:c>
      <x:c r="F7" s="19" t="n">
        <x:v>97.3</x:v>
      </x:c>
      <x:c r="G7" s="19" t="n">
        <x:v>100</x:v>
      </x:c>
      <x:c r="H7" s="19" t="n">
        <x:v>100</x:v>
      </x:c>
      <x:c r="I7" s="19" t="n">
        <x:v>100</x:v>
      </x:c>
      <x:c r="J7" s="20" t="str"/>
    </x:row>
    <x:row r="8">
      <x:c r="A8" s="12" t="str">
        <x:v>ZH+EN</x:v>
      </x:c>
      <x:c r="B8" s="12" t="str">
        <x:v>GLCLAP</x:v>
      </x:c>
      <x:c r="C8" s="12" t="str">
        <x:v>ContextASR-EN</x:v>
      </x:c>
      <x:c r="D8" s="14" t="n">
        <x:v>76.3</x:v>
      </x:c>
      <x:c r="E8" s="14" t="n">
        <x:v>70.3</x:v>
      </x:c>
      <x:c r="F8" s="14" t="n">
        <x:v>83.3</x:v>
      </x:c>
      <x:c r="G8" s="14" t="n">
        <x:v>80.1</x:v>
      </x:c>
      <x:c r="H8" s="14" t="n">
        <x:v>96.4</x:v>
      </x:c>
      <x:c r="I8" s="14" t="n">
        <x:v>99.8</x:v>
      </x:c>
      <x:c r="J8" s="16" t="str"/>
    </x:row>
    <x:row r="9">
      <x:c r="A9" s="12" t="str">
        <x:v>ZH+EN</x:v>
      </x:c>
      <x:c r="B9" s="12" t="str">
        <x:v>CLAR</x:v>
      </x:c>
      <x:c r="C9" s="12" t="str">
        <x:v>ContextASR-EN</x:v>
      </x:c>
      <x:c r="D9" s="14" t="n">
        <x:v>82</x:v>
      </x:c>
      <x:c r="E9" s="14" t="n">
        <x:v>83</x:v>
      </x:c>
      <x:c r="F9" s="14" t="n">
        <x:v>81.2</x:v>
      </x:c>
      <x:c r="G9" s="14" t="n">
        <x:v>98.6</x:v>
      </x:c>
      <x:c r="H9" s="14" t="n">
        <x:v>100</x:v>
      </x:c>
      <x:c r="I9" s="14" t="n">
        <x:v>100</x:v>
      </x:c>
      <x:c r="J9" s="16" t="str"/>
    </x:row>
    <x:row r="10">
      <x:c r="A10" s="18" t="str">
        <x:v>ZH+EN</x:v>
      </x:c>
      <x:c r="B10" s="18" t="str">
        <x:v>TLDR</x:v>
      </x:c>
      <x:c r="C10" s="18" t="str">
        <x:v>ContextASR-EN</x:v>
      </x:c>
      <x:c r="D10" s="19" t="n">
        <x:v>88.8</x:v>
      </x:c>
      <x:c r="E10" s="19" t="n">
        <x:v>90.8</x:v>
      </x:c>
      <x:c r="F10" s="19" t="n">
        <x:v>86.9</x:v>
      </x:c>
      <x:c r="G10" s="19" t="n">
        <x:v>98.9</x:v>
      </x:c>
      <x:c r="H10" s="19" t="n">
        <x:v>100</x:v>
      </x:c>
      <x:c r="I10" s="19" t="n">
        <x:v>100</x:v>
      </x:c>
      <x:c r="J10" s="20" t="str"/>
    </x:row>
    <x:row r="11">
      <x:c r="A11" s="12" t="str">
        <x:v>ZH+EN</x:v>
      </x:c>
      <x:c r="B11" s="12" t="str">
        <x:v>GLCLAP</x:v>
      </x:c>
      <x:c r="C11" s="12" t="str">
        <x:v>AISpeech-Meeting</x:v>
      </x:c>
      <x:c r="D11" s="14" t="n">
        <x:v>59</x:v>
      </x:c>
      <x:c r="E11" s="14" t="n">
        <x:v>58.7</x:v>
      </x:c>
      <x:c r="F11" s="14" t="n">
        <x:v>59.4</x:v>
      </x:c>
      <x:c r="G11" s="14" t="n">
        <x:v>64.5</x:v>
      </x:c>
      <x:c r="H11" s="14" t="n">
        <x:v>85.6</x:v>
      </x:c>
      <x:c r="I11" s="14" t="n">
        <x:v>88.9</x:v>
      </x:c>
      <x:c r="J11" s="16" t="str"/>
    </x:row>
    <x:row r="12">
      <x:c r="A12" s="12" t="str">
        <x:v>ZH+EN</x:v>
      </x:c>
      <x:c r="B12" s="12" t="str">
        <x:v>CLAR</x:v>
      </x:c>
      <x:c r="C12" s="12" t="str">
        <x:v>AISpeech-Meeting</x:v>
      </x:c>
      <x:c r="D12" s="14" t="n">
        <x:v>69.3</x:v>
      </x:c>
      <x:c r="E12" s="14" t="n">
        <x:v>71.3</x:v>
      </x:c>
      <x:c r="F12" s="14" t="n">
        <x:v>67.4</x:v>
      </x:c>
      <x:c r="G12" s="14" t="n">
        <x:v>76.8</x:v>
      </x:c>
      <x:c r="H12" s="14" t="n">
        <x:v>93.2</x:v>
      </x:c>
      <x:c r="I12" s="14" t="n">
        <x:v>95</x:v>
      </x:c>
      <x:c r="J12" s="16" t="str"/>
    </x:row>
    <x:row r="13">
      <x:c r="A13" s="18" t="str">
        <x:v>ZH+EN</x:v>
      </x:c>
      <x:c r="B13" s="18" t="str">
        <x:v>TLDR</x:v>
      </x:c>
      <x:c r="C13" s="18" t="str">
        <x:v>AISpeech-Meeting</x:v>
      </x:c>
      <x:c r="D13" s="19" t="n">
        <x:v>69.8</x:v>
      </x:c>
      <x:c r="E13" s="19" t="n">
        <x:v>73.7</x:v>
      </x:c>
      <x:c r="F13" s="19" t="n">
        <x:v>66.3</x:v>
      </x:c>
      <x:c r="G13" s="19" t="n">
        <x:v>77.3</x:v>
      </x:c>
      <x:c r="H13" s="19" t="n">
        <x:v>93.2</x:v>
      </x:c>
      <x:c r="I13" s="19" t="n">
        <x:v>95.8</x:v>
      </x:c>
      <x:c r="J13" s="20" t="str"/>
    </x:row>
    <x:row r="14">
      <x:c r="A14" s="12" t="str">
        <x:v>ZH only</x:v>
      </x:c>
      <x:c r="B14" s="12" t="str">
        <x:v>GLCLAP</x:v>
      </x:c>
      <x:c r="C14" s="12" t="str">
        <x:v>AISHELL1-NE</x:v>
      </x:c>
      <x:c r="D14" s="14" t="n">
        <x:v>90.3</x:v>
      </x:c>
      <x:c r="E14" s="14" t="n">
        <x:v>88.4</x:v>
      </x:c>
      <x:c r="F14" s="14" t="n">
        <x:v>92.2</x:v>
      </x:c>
      <x:c r="G14" s="14" t="n">
        <x:v>88.7</x:v>
      </x:c>
      <x:c r="H14" s="14" t="n">
        <x:v>98.5</x:v>
      </x:c>
      <x:c r="I14" s="14" t="n">
        <x:v>99.3</x:v>
      </x:c>
      <x:c r="J14" s="16" t="str"/>
    </x:row>
    <x:row r="15">
      <x:c r="A15" s="12" t="str">
        <x:v>ZH only</x:v>
      </x:c>
      <x:c r="B15" s="12" t="str">
        <x:v>CLAR</x:v>
      </x:c>
      <x:c r="C15" s="12" t="str">
        <x:v>AISHELL1-NE</x:v>
      </x:c>
      <x:c r="D15" s="14" t="n">
        <x:v>96.9</x:v>
      </x:c>
      <x:c r="E15" s="14" t="n">
        <x:v>96.8</x:v>
      </x:c>
      <x:c r="F15" s="14" t="n">
        <x:v>96.9</x:v>
      </x:c>
      <x:c r="G15" s="14" t="n">
        <x:v>99.5</x:v>
      </x:c>
      <x:c r="H15" s="14" t="n">
        <x:v>100</x:v>
      </x:c>
      <x:c r="I15" s="14" t="n">
        <x:v>100</x:v>
      </x:c>
      <x:c r="J15" s="16" t="str"/>
    </x:row>
    <x:row r="16">
      <x:c r="A16" s="18" t="str">
        <x:v>ZH only</x:v>
      </x:c>
      <x:c r="B16" s="18" t="str">
        <x:v>TLDR</x:v>
      </x:c>
      <x:c r="C16" s="18" t="str">
        <x:v>AISHELL1-NE</x:v>
      </x:c>
      <x:c r="D16" s="19" t="n">
        <x:v>96.8</x:v>
      </x:c>
      <x:c r="E16" s="19" t="n">
        <x:v>98.2</x:v>
      </x:c>
      <x:c r="F16" s="19" t="n">
        <x:v>95.3</x:v>
      </x:c>
      <x:c r="G16" s="19" t="n">
        <x:v>99.3</x:v>
      </x:c>
      <x:c r="H16" s="19" t="n">
        <x:v>100</x:v>
      </x:c>
      <x:c r="I16" s="19" t="n">
        <x:v>100</x:v>
      </x:c>
      <x:c r="J16" s="20" t="str"/>
    </x:row>
    <x:row r="17">
      <x:c r="A17" s="12" t="str">
        <x:v>ZH only</x:v>
      </x:c>
      <x:c r="B17" s="12" t="str">
        <x:v>GLCLAP</x:v>
      </x:c>
      <x:c r="C17" s="12" t="str">
        <x:v>ContextASR-ZH</x:v>
      </x:c>
      <x:c r="D17" s="14" t="n">
        <x:v>78.6</x:v>
      </x:c>
      <x:c r="E17" s="14" t="n">
        <x:v>86.9</x:v>
      </x:c>
      <x:c r="F17" s="14" t="n">
        <x:v>75.3</x:v>
      </x:c>
      <x:c r="G17" s="14" t="n">
        <x:v>16.3</x:v>
      </x:c>
      <x:c r="H17" s="14" t="n">
        <x:v>71.6</x:v>
      </x:c>
      <x:c r="I17" s="14" t="n">
        <x:v>93.4</x:v>
      </x:c>
      <x:c r="J17" s="16" t="str"/>
    </x:row>
    <x:row r="18">
      <x:c r="A18" s="12" t="str">
        <x:v>ZH only</x:v>
      </x:c>
      <x:c r="B18" s="12" t="str">
        <x:v>CLAR</x:v>
      </x:c>
      <x:c r="C18" s="12" t="str">
        <x:v>ContextASR-ZH</x:v>
      </x:c>
      <x:c r="D18" s="14" t="n">
        <x:v>80.6</x:v>
      </x:c>
      <x:c r="E18" s="14" t="n">
        <x:v>78.9</x:v>
      </x:c>
      <x:c r="F18" s="14" t="n">
        <x:v>82.3</x:v>
      </x:c>
      <x:c r="G18" s="14" t="n">
        <x:v>96.7</x:v>
      </x:c>
      <x:c r="H18" s="14" t="n">
        <x:v>100</x:v>
      </x:c>
      <x:c r="I18" s="14" t="n">
        <x:v>100</x:v>
      </x:c>
      <x:c r="J18" s="16" t="str"/>
    </x:row>
    <x:row r="19">
      <x:c r="A19" s="18" t="str">
        <x:v>ZH only</x:v>
      </x:c>
      <x:c r="B19" s="18" t="str">
        <x:v>TLDR</x:v>
      </x:c>
      <x:c r="C19" s="18" t="str">
        <x:v>ContextASR-ZH</x:v>
      </x:c>
      <x:c r="D19" s="19" t="n">
        <x:v>92.6</x:v>
      </x:c>
      <x:c r="E19" s="19" t="n">
        <x:v>91.4</x:v>
      </x:c>
      <x:c r="F19" s="19" t="n">
        <x:v>93.9</x:v>
      </x:c>
      <x:c r="G19" s="19" t="n">
        <x:v>95</x:v>
      </x:c>
      <x:c r="H19" s="19" t="n">
        <x:v>100</x:v>
      </x:c>
      <x:c r="I19" s="19" t="n">
        <x:v>100</x:v>
      </x:c>
      <x:c r="J19" s="20" t="str"/>
    </x:row>
    <x:row r="20">
      <x:c r="A20" s="12" t="str">
        <x:v>ZH only</x:v>
      </x:c>
      <x:c r="B20" s="12" t="str">
        <x:v>GLCLAP</x:v>
      </x:c>
      <x:c r="C20" s="12" t="str">
        <x:v>ContextASR-EN</x:v>
      </x:c>
      <x:c r="D20" s="14" t="n">
        <x:v>1.3</x:v>
      </x:c>
      <x:c r="E20" s="14" t="n">
        <x:v>0.8</x:v>
      </x:c>
      <x:c r="F20" s="14" t="n">
        <x:v>3.1</x:v>
      </x:c>
      <x:c r="G20" s="14" t="n">
        <x:v>0.2</x:v>
      </x:c>
      <x:c r="H20" s="14" t="n">
        <x:v>0.7</x:v>
      </x:c>
      <x:c r="I20" s="14" t="n">
        <x:v>1</x:v>
      </x:c>
      <x:c r="J20" s="16" t="str"/>
    </x:row>
    <x:row r="21">
      <x:c r="A21" s="12" t="str">
        <x:v>ZH only</x:v>
      </x:c>
      <x:c r="B21" s="12" t="str">
        <x:v>CLAR</x:v>
      </x:c>
      <x:c r="C21" s="12" t="str">
        <x:v>ContextASR-EN</x:v>
      </x:c>
      <x:c r="D21" s="14" t="n">
        <x:v>1.3</x:v>
      </x:c>
      <x:c r="E21" s="14" t="n">
        <x:v>2.35</x:v>
      </x:c>
      <x:c r="F21" s="14" t="n">
        <x:v>0.95</x:v>
      </x:c>
      <x:c r="G21" s="14" t="n">
        <x:v>1.4</x:v>
      </x:c>
      <x:c r="H21" s="14" t="n">
        <x:v>6.4</x:v>
      </x:c>
      <x:c r="I21" s="14" t="n">
        <x:v>11.4</x:v>
      </x:c>
      <x:c r="J21" s="16" t="str"/>
    </x:row>
    <x:row r="22">
      <x:c r="A22" s="18" t="str">
        <x:v>ZH only</x:v>
      </x:c>
      <x:c r="B22" s="18" t="str">
        <x:v>TLDR</x:v>
      </x:c>
      <x:c r="C22" s="18" t="str">
        <x:v>ContextASR-EN</x:v>
      </x:c>
      <x:c r="D22" s="19" t="n">
        <x:v>8.7</x:v>
      </x:c>
      <x:c r="E22" s="19" t="n">
        <x:v>6.7</x:v>
      </x:c>
      <x:c r="F22" s="19" t="n">
        <x:v>12.2</x:v>
      </x:c>
      <x:c r="G22" s="19" t="n">
        <x:v>16.7</x:v>
      </x:c>
      <x:c r="H22" s="19" t="n">
        <x:v>36.7</x:v>
      </x:c>
      <x:c r="I22" s="19" t="n">
        <x:v>53.4</x:v>
      </x:c>
      <x:c r="J22" s="20" t="str"/>
    </x:row>
    <x:row r="23">
      <x:c r="A23" s="12" t="str">
        <x:v>ZH only</x:v>
      </x:c>
      <x:c r="B23" s="12" t="str">
        <x:v>GLCLAP</x:v>
      </x:c>
      <x:c r="C23" s="12" t="str">
        <x:v>AISpeech-Meeting</x:v>
      </x:c>
      <x:c r="D23" s="14" t="n">
        <x:v>41</x:v>
      </x:c>
      <x:c r="E23" s="14" t="n">
        <x:v>38.2</x:v>
      </x:c>
      <x:c r="F23" s="14" t="n">
        <x:v>49</x:v>
      </x:c>
      <x:c r="G23" s="14" t="n">
        <x:v>53.1</x:v>
      </x:c>
      <x:c r="H23" s="14" t="n">
        <x:v>75.1</x:v>
      </x:c>
      <x:c r="I23" s="14" t="n">
        <x:v>82</x:v>
      </x:c>
      <x:c r="J23" s="16" t="str"/>
    </x:row>
    <x:row r="24">
      <x:c r="A24" s="12" t="str">
        <x:v>ZH only</x:v>
      </x:c>
      <x:c r="B24" s="12" t="str">
        <x:v>CLAR</x:v>
      </x:c>
      <x:c r="C24" s="12" t="str">
        <x:v>AISpeech-Meeting</x:v>
      </x:c>
      <x:c r="D24" s="14" t="n">
        <x:v>49.3</x:v>
      </x:c>
      <x:c r="E24" s="14" t="n">
        <x:v>48.44</x:v>
      </x:c>
      <x:c r="F24" s="14" t="n">
        <x:v>50.24</x:v>
      </x:c>
      <x:c r="G24" s="14" t="n">
        <x:v>54.5</x:v>
      </x:c>
      <x:c r="H24" s="14" t="n">
        <x:v>75.2</x:v>
      </x:c>
      <x:c r="I24" s="14" t="n">
        <x:v>82</x:v>
      </x:c>
      <x:c r="J24" s="16" t="str"/>
    </x:row>
    <x:row r="25">
      <x:c r="A25" s="18" t="str">
        <x:v>ZH only</x:v>
      </x:c>
      <x:c r="B25" s="18" t="str">
        <x:v>TLDR</x:v>
      </x:c>
      <x:c r="C25" s="18" t="str">
        <x:v>AISpeech-Meeting</x:v>
      </x:c>
      <x:c r="D25" s="19" t="n">
        <x:v>65.8</x:v>
      </x:c>
      <x:c r="E25" s="19" t="n">
        <x:v>68.6</x:v>
      </x:c>
      <x:c r="F25" s="19" t="n">
        <x:v>63.3</x:v>
      </x:c>
      <x:c r="G25" s="19" t="n">
        <x:v>67.9</x:v>
      </x:c>
      <x:c r="H25" s="19" t="n">
        <x:v>86.7</x:v>
      </x:c>
      <x:c r="I25" s="19" t="n">
        <x:v>90</x:v>
      </x:c>
      <x:c r="J25" s="20" t="str"/>
    </x:row>
  </x:sheetData>
  <x:pageMargins left="0.7" right="0.7" top="0.75" bottom="0.75" header="0.3" footer="0.3"/>
  <x:tableParts count="1">
    <x:tablePart xmlns:r="http://schemas.openxmlformats.org/officeDocument/2006/relationships" r:id="R1df8e167c2994c8c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>
      <x:c r="A1" s="5" t="str">
        <x:v>Training Regime</x:v>
      </x:c>
      <x:c r="B1" s="5" t="str">
        <x:v>Dataset</x:v>
      </x:c>
      <x:c r="C1" s="5" t="str">
        <x:v>GLCLAP</x:v>
      </x:c>
      <x:c r="D1" s="5" t="str">
        <x:v>CLAR</x:v>
      </x:c>
      <x:c r="E1" s="5" t="str">
        <x:v>TLDR</x:v>
      </x:c>
      <x:c r="F1" s="5" t="str">
        <x:v>TLDR Gain vs Best Baseline</x:v>
      </x:c>
    </x:row>
    <x:row r="2">
      <x:c r="A2" t="str">
        <x:v>ZH+EN</x:v>
      </x:c>
      <x:c r="B2" t="str">
        <x:v>AISHELL1-NE</x:v>
      </x:c>
      <x:c r="C2" s="10" t="n">
        <x:v>93.2</x:v>
      </x:c>
      <x:c r="D2" s="10" t="n">
        <x:v>94.5</x:v>
      </x:c>
      <x:c r="E2" s="10" t="n">
        <x:v>96.2</x:v>
      </x:c>
      <x:c r="F2" s="10" t="n">
        <x:f>E2-MAX(C2:D2)</x:f>
        <x:v>1.7000000000000028</x:v>
      </x:c>
    </x:row>
    <x:row r="3">
      <x:c r="A3" t="str">
        <x:v>ZH+EN</x:v>
      </x:c>
      <x:c r="B3" t="str">
        <x:v>ContextASR-ZH</x:v>
      </x:c>
      <x:c r="C3" s="10" t="n">
        <x:v>90.2</x:v>
      </x:c>
      <x:c r="D3" s="10" t="n">
        <x:v>94.4</x:v>
      </x:c>
      <x:c r="E3" s="10" t="n">
        <x:v>96.7</x:v>
      </x:c>
      <x:c r="F3" s="10" t="n">
        <x:f>E3-MAX(C3:D3)</x:f>
        <x:v>2.299999999999997</x:v>
      </x:c>
    </x:row>
    <x:row r="4">
      <x:c r="A4" t="str">
        <x:v>ZH+EN</x:v>
      </x:c>
      <x:c r="B4" t="str">
        <x:v>ContextASR-EN</x:v>
      </x:c>
      <x:c r="C4" s="10" t="n">
        <x:v>76.3</x:v>
      </x:c>
      <x:c r="D4" s="10" t="n">
        <x:v>82</x:v>
      </x:c>
      <x:c r="E4" s="10" t="n">
        <x:v>88.8</x:v>
      </x:c>
      <x:c r="F4" s="10" t="n">
        <x:f>E4-MAX(C4:D4)</x:f>
        <x:v>6.799999999999997</x:v>
      </x:c>
    </x:row>
    <x:row r="5">
      <x:c r="A5" t="str">
        <x:v>ZH+EN</x:v>
      </x:c>
      <x:c r="B5" t="str">
        <x:v>AISpeech-Meeting</x:v>
      </x:c>
      <x:c r="C5" s="10" t="n">
        <x:v>59</x:v>
      </x:c>
      <x:c r="D5" s="10" t="n">
        <x:v>69.3</x:v>
      </x:c>
      <x:c r="E5" s="10" t="n">
        <x:v>69.8</x:v>
      </x:c>
      <x:c r="F5" s="10" t="n">
        <x:f>E5-MAX(C5:D5)</x:f>
        <x:v>0.5</x:v>
      </x:c>
    </x:row>
    <x:row r="6">
      <x:c r="A6" t="str">
        <x:v>ZH only</x:v>
      </x:c>
      <x:c r="B6" t="str">
        <x:v>AISHELL1-NE</x:v>
      </x:c>
      <x:c r="C6" s="10" t="n">
        <x:v>90.3</x:v>
      </x:c>
      <x:c r="D6" s="10" t="n">
        <x:v>96.9</x:v>
      </x:c>
      <x:c r="E6" s="10" t="n">
        <x:v>96.8</x:v>
      </x:c>
      <x:c r="F6" s="10" t="n">
        <x:f>E6-MAX(C6:D6)</x:f>
        <x:v>-0.10000000000000853</x:v>
      </x:c>
    </x:row>
    <x:row r="7">
      <x:c r="A7" t="str">
        <x:v>ZH only</x:v>
      </x:c>
      <x:c r="B7" t="str">
        <x:v>ContextASR-ZH</x:v>
      </x:c>
      <x:c r="C7" s="10" t="n">
        <x:v>78.6</x:v>
      </x:c>
      <x:c r="D7" s="10" t="n">
        <x:v>80.6</x:v>
      </x:c>
      <x:c r="E7" s="10" t="n">
        <x:v>92.6</x:v>
      </x:c>
      <x:c r="F7" s="10" t="n">
        <x:f>E7-MAX(C7:D7)</x:f>
        <x:v>12</x:v>
      </x:c>
    </x:row>
    <x:row r="8">
      <x:c r="A8" t="str">
        <x:v>ZH only</x:v>
      </x:c>
      <x:c r="B8" t="str">
        <x:v>ContextASR-EN</x:v>
      </x:c>
      <x:c r="C8" s="10" t="n">
        <x:v>1.3</x:v>
      </x:c>
      <x:c r="D8" s="10" t="n">
        <x:v>1.3</x:v>
      </x:c>
      <x:c r="E8" s="10" t="n">
        <x:v>8.7</x:v>
      </x:c>
      <x:c r="F8" s="10" t="n">
        <x:f>E8-MAX(C8:D8)</x:f>
        <x:v>7.3999999999999995</x:v>
      </x:c>
    </x:row>
    <x:row r="9">
      <x:c r="A9" t="str">
        <x:v>ZH only</x:v>
      </x:c>
      <x:c r="B9" t="str">
        <x:v>AISpeech-Meeting</x:v>
      </x:c>
      <x:c r="C9" s="10" t="n">
        <x:v>41</x:v>
      </x:c>
      <x:c r="D9" s="10" t="n">
        <x:v>49.3</x:v>
      </x:c>
      <x:c r="E9" s="10" t="n">
        <x:v>65.8</x:v>
      </x:c>
      <x:c r="F9" s="10" t="n">
        <x:f>E9-MAX(C9:D9)</x:f>
        <x:v>16.5</x:v>
      </x:c>
    </x:row>
    <x:row r="10">
      <x:c r="C10" s="10"/>
      <x:c r="D10" s="10"/>
      <x:c r="E10" s="10"/>
      <x:c r="F10" s="10"/>
    </x:row>
    <x:row r="11">
      <x:c r="C11" s="10"/>
      <x:c r="D11" s="10"/>
      <x:c r="E11" s="10"/>
      <x:c r="F11" s="10"/>
    </x:row>
    <x:row r="12">
      <x:c r="A12" s="5" t="str">
        <x:v>Training Regime</x:v>
      </x:c>
      <x:c r="B12" s="5" t="str">
        <x:v>Metric</x:v>
      </x:c>
      <x:c r="C12" s="24" t="str">
        <x:v>GLCLAP</x:v>
      </x:c>
      <x:c r="D12" s="24" t="str">
        <x:v>CLAR</x:v>
      </x:c>
      <x:c r="E12" s="24" t="str">
        <x:v>TLDR</x:v>
      </x:c>
      <x:c r="F12" s="24" t="str">
        <x:v>TLDR Gain vs Best Baseline</x:v>
      </x:c>
    </x:row>
    <x:row r="13">
      <x:c r="A13" t="str">
        <x:v>ZH+EN</x:v>
      </x:c>
      <x:c r="B13" t="str">
        <x:v>Macro F1</x:v>
      </x:c>
      <x:c r="C13" s="10" t="n">
        <x:f>AVERAGE(C2:C5)</x:f>
        <x:v>79.675</x:v>
      </x:c>
      <x:c r="D13" s="10" t="n">
        <x:f>AVERAGE(D2:D5)</x:f>
        <x:v>85.05</x:v>
      </x:c>
      <x:c r="E13" s="10" t="n">
        <x:f>AVERAGE(E2:E5)</x:f>
        <x:v>87.875</x:v>
      </x:c>
      <x:c r="F13" s="10" t="n">
        <x:f>E13-MAX(C13:D13)</x:f>
        <x:v>2.825000000000003</x:v>
      </x:c>
    </x:row>
    <x:row r="14">
      <x:c r="A14" t="str">
        <x:v>ZH only</x:v>
      </x:c>
      <x:c r="B14" t="str">
        <x:v>Macro F1</x:v>
      </x:c>
      <x:c r="C14" s="10" t="n">
        <x:f>AVERAGE(C6:C9)</x:f>
        <x:v>52.8</x:v>
      </x:c>
      <x:c r="D14" s="10" t="n">
        <x:f>AVERAGE(D6:D9)</x:f>
        <x:v>57.025000000000006</x:v>
      </x:c>
      <x:c r="E14" s="10" t="n">
        <x:f>AVERAGE(E6:E9)</x:f>
        <x:v>65.975</x:v>
      </x:c>
      <x:c r="F14" s="10" t="n">
        <x:f>E14-MAX(C14:D14)</x:f>
        <x:v>8.949999999999989</x:v>
      </x:c>
    </x:row>
  </x:sheetData>
  <x:conditionalFormatting sqref="F2:F9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2" hidden="0" customWidth="1"/>
    <x:col min="4" max="4" width="11" hidden="0" customWidth="1"/>
    <x:col min="5" max="5" width="11" hidden="0" customWidth="1"/>
    <x:col min="6" max="6" width="11" hidden="0" customWidth="1"/>
  </x:cols>
  <x:sheetData>
    <x:row r="1">
      <x:c r="A1" s="5" t="str">
        <x:v>Training Regime</x:v>
      </x:c>
      <x:c r="B1" s="5" t="str">
        <x:v>Dataset</x:v>
      </x:c>
      <x:c r="C1" s="5" t="str">
        <x:v>Model</x:v>
      </x:c>
      <x:c r="D1" s="5" t="str">
        <x:v>R@1</x:v>
      </x:c>
      <x:c r="E1" s="5" t="str">
        <x:v>R@5</x:v>
      </x:c>
      <x:c r="F1" s="5" t="str">
        <x:v>R@10</x:v>
      </x:c>
    </x:row>
    <x:row r="2">
      <x:c r="A2" t="str">
        <x:v>ZH+EN</x:v>
      </x:c>
      <x:c r="B2" t="str">
        <x:v>AISHELL1-NE</x:v>
      </x:c>
      <x:c r="C2" t="str">
        <x:v>GLCLAP</x:v>
      </x:c>
      <x:c r="D2" s="10" t="n">
        <x:v>96.7</x:v>
      </x:c>
      <x:c r="E2" s="10" t="n">
        <x:v>99</x:v>
      </x:c>
      <x:c r="F2" s="10" t="n">
        <x:v>99.4</x:v>
      </x:c>
    </x:row>
    <x:row r="3">
      <x:c r="A3" t="str">
        <x:v>ZH+EN</x:v>
      </x:c>
      <x:c r="B3" t="str">
        <x:v>AISHELL1-NE</x:v>
      </x:c>
      <x:c r="C3" t="str">
        <x:v>CLAR</x:v>
      </x:c>
      <x:c r="D3" s="10" t="n">
        <x:v>98.8</x:v>
      </x:c>
      <x:c r="E3" s="10" t="n">
        <x:v>99.8</x:v>
      </x:c>
      <x:c r="F3" s="10" t="n">
        <x:v>99.9</x:v>
      </x:c>
    </x:row>
    <x:row r="4">
      <x:c r="A4" t="str">
        <x:v>ZH+EN</x:v>
      </x:c>
      <x:c r="B4" t="str">
        <x:v>AISHELL1-NE</x:v>
      </x:c>
      <x:c r="C4" t="str">
        <x:v>TLDR</x:v>
      </x:c>
      <x:c r="D4" s="10" t="n">
        <x:v>99.1</x:v>
      </x:c>
      <x:c r="E4" s="10" t="n">
        <x:v>99.8</x:v>
      </x:c>
      <x:c r="F4" s="10" t="n">
        <x:v>99.8</x:v>
      </x:c>
    </x:row>
    <x:row r="5">
      <x:c r="A5" t="str">
        <x:v>ZH+EN</x:v>
      </x:c>
      <x:c r="B5" t="str">
        <x:v>ContextASR-ZH</x:v>
      </x:c>
      <x:c r="C5" t="str">
        <x:v>GLCLAP</x:v>
      </x:c>
      <x:c r="D5" s="10" t="n">
        <x:v>98.3</x:v>
      </x:c>
      <x:c r="E5" s="10" t="n">
        <x:v>99.8</x:v>
      </x:c>
      <x:c r="F5" s="10" t="n">
        <x:v>100</x:v>
      </x:c>
    </x:row>
    <x:row r="6">
      <x:c r="A6" t="str">
        <x:v>ZH+EN</x:v>
      </x:c>
      <x:c r="B6" t="str">
        <x:v>ContextASR-ZH</x:v>
      </x:c>
      <x:c r="C6" t="str">
        <x:v>CLAR</x:v>
      </x:c>
      <x:c r="D6" s="10" t="n">
        <x:v>100</x:v>
      </x:c>
      <x:c r="E6" s="10" t="n">
        <x:v>100</x:v>
      </x:c>
      <x:c r="F6" s="10" t="n">
        <x:v>100</x:v>
      </x:c>
    </x:row>
    <x:row r="7">
      <x:c r="A7" t="str">
        <x:v>ZH+EN</x:v>
      </x:c>
      <x:c r="B7" t="str">
        <x:v>ContextASR-ZH</x:v>
      </x:c>
      <x:c r="C7" t="str">
        <x:v>TLDR</x:v>
      </x:c>
      <x:c r="D7" s="10" t="n">
        <x:v>100</x:v>
      </x:c>
      <x:c r="E7" s="10" t="n">
        <x:v>100</x:v>
      </x:c>
      <x:c r="F7" s="10" t="n">
        <x:v>100</x:v>
      </x:c>
    </x:row>
    <x:row r="8">
      <x:c r="A8" t="str">
        <x:v>ZH+EN</x:v>
      </x:c>
      <x:c r="B8" t="str">
        <x:v>ContextASR-EN</x:v>
      </x:c>
      <x:c r="C8" t="str">
        <x:v>GLCLAP</x:v>
      </x:c>
      <x:c r="D8" s="10" t="n">
        <x:v>80.1</x:v>
      </x:c>
      <x:c r="E8" s="10" t="n">
        <x:v>96.4</x:v>
      </x:c>
      <x:c r="F8" s="10" t="n">
        <x:v>99.8</x:v>
      </x:c>
    </x:row>
    <x:row r="9">
      <x:c r="A9" t="str">
        <x:v>ZH+EN</x:v>
      </x:c>
      <x:c r="B9" t="str">
        <x:v>ContextASR-EN</x:v>
      </x:c>
      <x:c r="C9" t="str">
        <x:v>CLAR</x:v>
      </x:c>
      <x:c r="D9" s="10" t="n">
        <x:v>98.6</x:v>
      </x:c>
      <x:c r="E9" s="10" t="n">
        <x:v>100</x:v>
      </x:c>
      <x:c r="F9" s="10" t="n">
        <x:v>100</x:v>
      </x:c>
    </x:row>
    <x:row r="10">
      <x:c r="A10" t="str">
        <x:v>ZH+EN</x:v>
      </x:c>
      <x:c r="B10" t="str">
        <x:v>ContextASR-EN</x:v>
      </x:c>
      <x:c r="C10" t="str">
        <x:v>TLDR</x:v>
      </x:c>
      <x:c r="D10" s="10" t="n">
        <x:v>98.9</x:v>
      </x:c>
      <x:c r="E10" s="10" t="n">
        <x:v>100</x:v>
      </x:c>
      <x:c r="F10" s="10" t="n">
        <x:v>100</x:v>
      </x:c>
    </x:row>
    <x:row r="11">
      <x:c r="A11" t="str">
        <x:v>ZH+EN</x:v>
      </x:c>
      <x:c r="B11" t="str">
        <x:v>AISpeech-Meeting</x:v>
      </x:c>
      <x:c r="C11" t="str">
        <x:v>GLCLAP</x:v>
      </x:c>
      <x:c r="D11" s="10" t="n">
        <x:v>64.5</x:v>
      </x:c>
      <x:c r="E11" s="10" t="n">
        <x:v>85.6</x:v>
      </x:c>
      <x:c r="F11" s="10" t="n">
        <x:v>88.9</x:v>
      </x:c>
    </x:row>
    <x:row r="12">
      <x:c r="A12" t="str">
        <x:v>ZH+EN</x:v>
      </x:c>
      <x:c r="B12" t="str">
        <x:v>AISpeech-Meeting</x:v>
      </x:c>
      <x:c r="C12" t="str">
        <x:v>CLAR</x:v>
      </x:c>
      <x:c r="D12" s="10" t="n">
        <x:v>76.8</x:v>
      </x:c>
      <x:c r="E12" s="10" t="n">
        <x:v>93.2</x:v>
      </x:c>
      <x:c r="F12" s="10" t="n">
        <x:v>95</x:v>
      </x:c>
    </x:row>
    <x:row r="13">
      <x:c r="A13" t="str">
        <x:v>ZH+EN</x:v>
      </x:c>
      <x:c r="B13" t="str">
        <x:v>AISpeech-Meeting</x:v>
      </x:c>
      <x:c r="C13" t="str">
        <x:v>TLDR</x:v>
      </x:c>
      <x:c r="D13" s="10" t="n">
        <x:v>77.3</x:v>
      </x:c>
      <x:c r="E13" s="10" t="n">
        <x:v>93.2</x:v>
      </x:c>
      <x:c r="F13" s="10" t="n">
        <x:v>95.8</x:v>
      </x:c>
    </x:row>
    <x:row r="14">
      <x:c r="A14" t="str">
        <x:v>ZH only</x:v>
      </x:c>
      <x:c r="B14" t="str">
        <x:v>AISHELL1-NE</x:v>
      </x:c>
      <x:c r="C14" t="str">
        <x:v>GLCLAP</x:v>
      </x:c>
      <x:c r="D14" s="10" t="n">
        <x:v>88.7</x:v>
      </x:c>
      <x:c r="E14" s="10" t="n">
        <x:v>98.5</x:v>
      </x:c>
      <x:c r="F14" s="10" t="n">
        <x:v>99.3</x:v>
      </x:c>
    </x:row>
    <x:row r="15">
      <x:c r="A15" t="str">
        <x:v>ZH only</x:v>
      </x:c>
      <x:c r="B15" t="str">
        <x:v>AISHELL1-NE</x:v>
      </x:c>
      <x:c r="C15" t="str">
        <x:v>CLAR</x:v>
      </x:c>
      <x:c r="D15" s="10" t="n">
        <x:v>99.5</x:v>
      </x:c>
      <x:c r="E15" s="10" t="n">
        <x:v>100</x:v>
      </x:c>
      <x:c r="F15" s="10" t="n">
        <x:v>100</x:v>
      </x:c>
    </x:row>
    <x:row r="16">
      <x:c r="A16" t="str">
        <x:v>ZH only</x:v>
      </x:c>
      <x:c r="B16" t="str">
        <x:v>AISHELL1-NE</x:v>
      </x:c>
      <x:c r="C16" t="str">
        <x:v>TLDR</x:v>
      </x:c>
      <x:c r="D16" s="10" t="n">
        <x:v>99.3</x:v>
      </x:c>
      <x:c r="E16" s="10" t="n">
        <x:v>100</x:v>
      </x:c>
      <x:c r="F16" s="10" t="n">
        <x:v>100</x:v>
      </x:c>
    </x:row>
    <x:row r="17">
      <x:c r="A17" t="str">
        <x:v>ZH only</x:v>
      </x:c>
      <x:c r="B17" t="str">
        <x:v>ContextASR-ZH</x:v>
      </x:c>
      <x:c r="C17" t="str">
        <x:v>GLCLAP</x:v>
      </x:c>
      <x:c r="D17" s="10" t="n">
        <x:v>16.3</x:v>
      </x:c>
      <x:c r="E17" s="10" t="n">
        <x:v>71.6</x:v>
      </x:c>
      <x:c r="F17" s="10" t="n">
        <x:v>93.4</x:v>
      </x:c>
    </x:row>
    <x:row r="18">
      <x:c r="A18" t="str">
        <x:v>ZH only</x:v>
      </x:c>
      <x:c r="B18" t="str">
        <x:v>ContextASR-ZH</x:v>
      </x:c>
      <x:c r="C18" t="str">
        <x:v>CLAR</x:v>
      </x:c>
      <x:c r="D18" s="10" t="n">
        <x:v>96.7</x:v>
      </x:c>
      <x:c r="E18" s="10" t="n">
        <x:v>100</x:v>
      </x:c>
      <x:c r="F18" s="10" t="n">
        <x:v>100</x:v>
      </x:c>
    </x:row>
    <x:row r="19">
      <x:c r="A19" t="str">
        <x:v>ZH only</x:v>
      </x:c>
      <x:c r="B19" t="str">
        <x:v>ContextASR-ZH</x:v>
      </x:c>
      <x:c r="C19" t="str">
        <x:v>TLDR</x:v>
      </x:c>
      <x:c r="D19" s="10" t="n">
        <x:v>95</x:v>
      </x:c>
      <x:c r="E19" s="10" t="n">
        <x:v>100</x:v>
      </x:c>
      <x:c r="F19" s="10" t="n">
        <x:v>100</x:v>
      </x:c>
    </x:row>
    <x:row r="20">
      <x:c r="A20" t="str">
        <x:v>ZH only</x:v>
      </x:c>
      <x:c r="B20" t="str">
        <x:v>ContextASR-EN</x:v>
      </x:c>
      <x:c r="C20" t="str">
        <x:v>GLCLAP</x:v>
      </x:c>
      <x:c r="D20" s="10" t="n">
        <x:v>0.2</x:v>
      </x:c>
      <x:c r="E20" s="10" t="n">
        <x:v>0.7</x:v>
      </x:c>
      <x:c r="F20" s="10" t="n">
        <x:v>1</x:v>
      </x:c>
    </x:row>
    <x:row r="21">
      <x:c r="A21" t="str">
        <x:v>ZH only</x:v>
      </x:c>
      <x:c r="B21" t="str">
        <x:v>ContextASR-EN</x:v>
      </x:c>
      <x:c r="C21" t="str">
        <x:v>CLAR</x:v>
      </x:c>
      <x:c r="D21" s="10" t="n">
        <x:v>1.4</x:v>
      </x:c>
      <x:c r="E21" s="10" t="n">
        <x:v>6.4</x:v>
      </x:c>
      <x:c r="F21" s="10" t="n">
        <x:v>11.4</x:v>
      </x:c>
    </x:row>
    <x:row r="22">
      <x:c r="A22" t="str">
        <x:v>ZH only</x:v>
      </x:c>
      <x:c r="B22" t="str">
        <x:v>ContextASR-EN</x:v>
      </x:c>
      <x:c r="C22" t="str">
        <x:v>TLDR</x:v>
      </x:c>
      <x:c r="D22" s="10" t="n">
        <x:v>16.7</x:v>
      </x:c>
      <x:c r="E22" s="10" t="n">
        <x:v>36.7</x:v>
      </x:c>
      <x:c r="F22" s="10" t="n">
        <x:v>53.4</x:v>
      </x:c>
    </x:row>
    <x:row r="23">
      <x:c r="A23" t="str">
        <x:v>ZH only</x:v>
      </x:c>
      <x:c r="B23" t="str">
        <x:v>AISpeech-Meeting</x:v>
      </x:c>
      <x:c r="C23" t="str">
        <x:v>GLCLAP</x:v>
      </x:c>
      <x:c r="D23" s="10" t="n">
        <x:v>53.1</x:v>
      </x:c>
      <x:c r="E23" s="10" t="n">
        <x:v>75.1</x:v>
      </x:c>
      <x:c r="F23" s="10" t="n">
        <x:v>82</x:v>
      </x:c>
    </x:row>
    <x:row r="24">
      <x:c r="A24" t="str">
        <x:v>ZH only</x:v>
      </x:c>
      <x:c r="B24" t="str">
        <x:v>AISpeech-Meeting</x:v>
      </x:c>
      <x:c r="C24" t="str">
        <x:v>CLAR</x:v>
      </x:c>
      <x:c r="D24" s="10" t="n">
        <x:v>54.5</x:v>
      </x:c>
      <x:c r="E24" s="10" t="n">
        <x:v>75.2</x:v>
      </x:c>
      <x:c r="F24" s="10" t="n">
        <x:v>82</x:v>
      </x:c>
    </x:row>
    <x:row r="25">
      <x:c r="A25" t="str">
        <x:v>ZH only</x:v>
      </x:c>
      <x:c r="B25" t="str">
        <x:v>AISpeech-Meeting</x:v>
      </x:c>
      <x:c r="C25" t="str">
        <x:v>TLDR</x:v>
      </x:c>
      <x:c r="D25" s="10" t="n">
        <x:v>67.9</x:v>
      </x:c>
      <x:c r="E25" s="10" t="n">
        <x:v>86.7</x:v>
      </x:c>
      <x:c r="F25" s="10" t="n">
        <x:v>90</x:v>
      </x:c>
    </x:row>
  </x:sheetData>
  <x:pageMargins left="0.7" right="0.7" top="0.75" bottom="0.75" header="0.3" footer="0.3"/>
  <x:tableParts count="1">
    <x:tablePart xmlns:r="http://schemas.openxmlformats.org/officeDocument/2006/relationships" r:id="R19ab5ff7138940f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2" hidden="0" customWidth="1"/>
  </x:cols>
  <x:sheetData>
    <x:row r="1">
      <x:c r="A1" s="26" t="str">
        <x:v>Item</x:v>
      </x:c>
      <x:c r="B1" s="26" t="str">
        <x:v>Content</x:v>
      </x:c>
    </x:row>
    <x:row r="2">
      <x:c r="A2" s="27" t="str">
        <x:v>Canonical source</x:v>
      </x:c>
      <x:c r="B2" s="28" t="str">
        <x:v>Results_Long is the canonical data sheet. Plotting code reads this sheet directly.</x:v>
      </x:c>
    </x:row>
    <x:row r="3">
      <x:c r="A3" s="27" t="str">
        <x:v>Detected typo</x:v>
      </x:c>
      <x:c r="B3" s="28" t="str">
        <x:v>GLCLAP / ZH+EN / ContextASR-ZH / R@5 was provided as "99.8.3"; stored as 99.8.</x:v>
      </x:c>
    </x:row>
    <x:row r="4">
      <x:c r="A4" s="27" t="str">
        <x:v>Precision policy</x:v>
      </x:c>
      <x:c r="B4" s="28" t="str">
        <x:v>Raw values are preserved; Excel displays one decimal place for paper readability.</x:v>
      </x:c>
    </x:row>
    <x:row r="5">
      <x:c r="A5" s="27" t="str">
        <x:v>Main result</x:v>
      </x:c>
      <x:c r="B5" s="28" t="str">
        <x:v>TLDR improves F1 most strongly under difficult, cross-domain, or restricted-training conditions.</x:v>
      </x:c>
    </x:row>
    <x:row r="6">
      <x:c r="A6" s="27" t="str">
        <x:v>Interpretation caution</x:v>
      </x:c>
      <x:c r="B6" s="28" t="str">
        <x:v>ZH-only ContextASR-EN improves substantially in ranking, but absolute F1 remains low.</x:v>
      </x:c>
    </x:row>
    <x:row r="7">
      <x:c r="A7" s="27" t="str">
        <x:v>Statistical reporting</x:v>
      </x:c>
      <x:c r="B7" s="28" t="str">
        <x:v>For the final paper, add mean ± standard deviation across seeds and paired bootstrap significance.</x:v>
      </x:c>
    </x:row>
    <x:row r="8">
      <x:c r="A8" s="27" t="str">
        <x:v>Controlled comparison</x:v>
      </x:c>
      <x:c r="B8" s="28" t="str">
        <x:v>Keep speech encoder, text encoder, data, loss, training steps, and candidate pool fixed when attributing gains to token-level late interaction.</x:v>
      </x:c>
    </x:row>
  </x:sheetData>
  <x:pageMargins left="0.7" right="0.7" top="0.75" bottom="0.75" header="0.3" footer="0.3"/>
</x:worksheet>
</file>