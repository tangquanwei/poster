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Results_Long" sheetId="1" r:id="rId1"/>
    <sheet name="F1_Summary" sheetId="2" r:id="rId2"/>
    <sheet name="Ranking_Summary" sheetId="3" r:id="rId3"/>
    <sheet name="Paper_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<sst xmlns="http://schemas.openxmlformats.org/spreadsheetml/2006/main" count="207" uniqueCount="37">
  <si>
    <t>Training Regime</t>
  </si>
  <si>
    <t>Model</t>
  </si>
  <si>
    <t>Dataset</t>
  </si>
  <si>
    <t>F1</t>
  </si>
  <si>
    <t>Precision</t>
  </si>
  <si>
    <t>Recall</t>
  </si>
  <si>
    <t>R@1</t>
  </si>
  <si>
    <t>R@5</t>
  </si>
  <si>
    <t>R@10</t>
  </si>
  <si>
    <t>ZH+EN</t>
  </si>
  <si>
    <t>GLCLAP</t>
  </si>
  <si>
    <t>AISHELL1-NE</t>
  </si>
  <si>
    <t>CLAR</t>
  </si>
  <si>
    <t>TLDR</t>
  </si>
  <si>
    <t>ContextASR-ZH</t>
  </si>
  <si>
    <t>ContextASR-EN</t>
  </si>
  <si>
    <t>AISpeech-Meeting</t>
  </si>
  <si>
    <t>ZH only</t>
  </si>
  <si>
    <t>TLDR Gain vs Best Baseline</t>
  </si>
  <si>
    <t>Metric</t>
  </si>
  <si>
    <t>Macro F1</t>
  </si>
  <si>
    <t>Item</t>
  </si>
  <si>
    <t>Content</t>
  </si>
  <si>
    <t>Canonical source</t>
  </si>
  <si>
    <t>Results_Long is the canonical data sheet. Plotting code reads this sheet directly.</t>
  </si>
  <si>
    <t>Detected typo</t>
  </si>
  <si>
    <t>GLCLAP / ZH+EN / ContextASR-ZH / R@5 was provided as "99.8.3"; stored as 99.8.</t>
  </si>
  <si>
    <t>Precision policy</t>
  </si>
  <si>
    <t>Raw values are preserved; Excel displays one decimal place for paper readability.</t>
  </si>
  <si>
    <t>Main result</t>
  </si>
  <si>
    <t>TLDR improves F1 most strongly under difficult, cross-domain, or restricted-training conditions.</t>
  </si>
  <si>
    <t>Interpretation caution</t>
  </si>
  <si>
    <t>ZH-only ContextASR-EN improves substantially in ranking, but absolute F1 remains low.</t>
  </si>
  <si>
    <t>Statistical reporting</t>
  </si>
  <si>
    <t>For the final paper, add mean ± standard deviation across seeds and paired bootstrap significance.</t>
  </si>
  <si>
    <t>Controlled comparison</t>
  </si>
  <si>
    <t>Keep speech encoder, text encoder, data, loss, training steps, and candidate pool fixed when attributing gains to token-level late interaction.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</si>
</sst>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2" borderId="0" xfId="49" applyNumberFormat="1" applyFont="1" applyFill="1" applyBorder="1" applyAlignment="1">
      <alignment horizontal="center" vertical="top"/>
    </xf>
    <xf numFmtId="0" fontId="0" fillId="0" borderId="0" xfId="49" applyNumberFormat="1" applyFont="1" applyFill="1" applyBorder="1" applyAlignment="1">
      <alignment vertical="top"/>
    </xf>
    <xf numFmtId="0" fontId="0" fillId="0" borderId="0" xfId="49" applyNumberFormat="1" applyFont="1" applyFill="1" applyBorder="1" applyAlignment="1">
      <alignment vertical="top" wrapText="1"/>
    </xf>
    <xf numFmtId="0" fontId="1" fillId="2" borderId="0" xfId="49" applyNumberFormat="1" applyFont="1" applyFill="1" applyBorder="1" applyAlignment="1">
      <alignment horizontal="center" vertical="center"/>
    </xf>
    <xf numFmtId="178" fontId="0" fillId="0" borderId="0" xfId="49" applyNumberFormat="1" applyFont="1" applyFill="1" applyBorder="1"/>
    <xf numFmtId="178" fontId="1" fillId="2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vertical="center"/>
    </xf>
    <xf numFmtId="178" fontId="0" fillId="0" borderId="0" xfId="49" applyNumberFormat="1" applyFont="1" applyFill="1" applyBorder="1" applyAlignment="1">
      <alignment horizontal="center"/>
    </xf>
    <xf numFmtId="0" fontId="0" fillId="3" borderId="0" xfId="49" applyNumberFormat="1" applyFont="1" applyFill="1" applyBorder="1" applyAlignment="1">
      <alignment vertical="center"/>
    </xf>
    <xf numFmtId="178" fontId="0" fillId="3" borderId="0" xfId="49" applyNumberFormat="1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sultsLongTable" displayName="ResultsLongTable" ref="A1:I25">
  <tableColumns count="9">
    <tableColumn id="1" name="Training Regime"/>
    <tableColumn id="2" name="Model"/>
    <tableColumn id="3" name="Dataset"/>
    <tableColumn id="4" name="F1"/>
    <tableColumn id="5" name="Precision"/>
    <tableColumn id="6" name="Recall"/>
    <tableColumn id="7" name="R@1"/>
    <tableColumn id="8" name="R@5"/>
    <tableColumn id="9" name="R@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ankingSummaryTable" displayName="RankingSummaryTable" ref="A1:F25">
  <tableColumns count="6">
    <tableColumn id="1" name="Training Regime"/>
    <tableColumn id="2" name="Dataset"/>
    <tableColumn id="3" name="Model"/>
    <tableColumn id="4" name="R@1"/>
    <tableColumn id="5" name="R@5"/>
    <tableColumn id="6" name="R@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selection activeCell="L7" sqref="L7"/>
    </sheetView>
  </sheetViews>
  <sheetFormatPr defaultColWidth="9" defaultRowHeight="14.25"/>
  <cols>
    <col min="1" max="1" width="16" customWidth="1"/>
    <col min="2" max="2" width="12" customWidth="1"/>
    <col min="3" max="3" width="21" customWidth="1"/>
    <col min="4" max="9" width="11" customWidth="1"/>
  </cols>
  <sheetData>
    <row r="1" ht="15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7" t="s">
        <v>9</v>
      </c>
      <c r="B2" s="7" t="s">
        <v>10</v>
      </c>
      <c r="C2" s="7" t="s">
        <v>11</v>
      </c>
      <c r="D2" s="8">
        <v>93.2</v>
      </c>
      <c r="E2" s="8">
        <v>90.4</v>
      </c>
      <c r="F2" s="8">
        <v>96.2</v>
      </c>
      <c r="G2" s="8">
        <v>96.7</v>
      </c>
      <c r="H2" s="8">
        <v>99</v>
      </c>
      <c r="I2" s="8">
        <v>99.4</v>
      </c>
    </row>
    <row r="3" spans="1:9">
      <c r="A3" s="7" t="s">
        <v>9</v>
      </c>
      <c r="B3" s="7" t="s">
        <v>12</v>
      </c>
      <c r="C3" s="7" t="s">
        <v>11</v>
      </c>
      <c r="D3" s="8">
        <v>94.5</v>
      </c>
      <c r="E3" s="8">
        <v>93.8</v>
      </c>
      <c r="F3" s="8">
        <v>95.2</v>
      </c>
      <c r="G3" s="8">
        <v>98.8</v>
      </c>
      <c r="H3" s="8">
        <v>99.8</v>
      </c>
      <c r="I3" s="8">
        <v>99.9</v>
      </c>
    </row>
    <row r="4" spans="1:9">
      <c r="A4" s="9" t="s">
        <v>9</v>
      </c>
      <c r="B4" s="9" t="s">
        <v>13</v>
      </c>
      <c r="C4" s="9" t="s">
        <v>11</v>
      </c>
      <c r="D4" s="10">
        <v>96.2</v>
      </c>
      <c r="E4" s="10">
        <v>96.7</v>
      </c>
      <c r="F4" s="10">
        <v>95.8</v>
      </c>
      <c r="G4" s="10">
        <v>99.1</v>
      </c>
      <c r="H4" s="10">
        <v>99.8</v>
      </c>
      <c r="I4" s="10">
        <v>99.8</v>
      </c>
    </row>
    <row r="5" spans="1:9">
      <c r="A5" s="7" t="s">
        <v>9</v>
      </c>
      <c r="B5" s="7" t="s">
        <v>10</v>
      </c>
      <c r="C5" s="7" t="s">
        <v>14</v>
      </c>
      <c r="D5" s="8">
        <v>90.2</v>
      </c>
      <c r="E5" s="8">
        <v>86.9</v>
      </c>
      <c r="F5" s="8">
        <v>93.6</v>
      </c>
      <c r="G5" s="8">
        <v>98.3</v>
      </c>
      <c r="H5" s="8">
        <v>99.8</v>
      </c>
      <c r="I5" s="8">
        <v>100</v>
      </c>
    </row>
    <row r="6" spans="1:9">
      <c r="A6" s="7" t="s">
        <v>9</v>
      </c>
      <c r="B6" s="7" t="s">
        <v>12</v>
      </c>
      <c r="C6" s="7" t="s">
        <v>14</v>
      </c>
      <c r="D6" s="8">
        <v>94.4</v>
      </c>
      <c r="E6" s="8">
        <v>93.5</v>
      </c>
      <c r="F6" s="8">
        <v>95.3</v>
      </c>
      <c r="G6" s="8">
        <v>100</v>
      </c>
      <c r="H6" s="8">
        <v>100</v>
      </c>
      <c r="I6" s="8">
        <v>100</v>
      </c>
    </row>
    <row r="7" spans="1:9">
      <c r="A7" s="9" t="s">
        <v>9</v>
      </c>
      <c r="B7" s="9" t="s">
        <v>13</v>
      </c>
      <c r="C7" s="9" t="s">
        <v>14</v>
      </c>
      <c r="D7" s="10">
        <v>96.7</v>
      </c>
      <c r="E7" s="10">
        <v>96</v>
      </c>
      <c r="F7" s="10">
        <v>97.3</v>
      </c>
      <c r="G7" s="10">
        <v>100</v>
      </c>
      <c r="H7" s="10">
        <v>100</v>
      </c>
      <c r="I7" s="10">
        <v>100</v>
      </c>
    </row>
    <row r="8" spans="1:9">
      <c r="A8" s="7" t="s">
        <v>9</v>
      </c>
      <c r="B8" s="7" t="s">
        <v>10</v>
      </c>
      <c r="C8" s="7" t="s">
        <v>15</v>
      </c>
      <c r="D8" s="8">
        <v>76.3</v>
      </c>
      <c r="E8" s="8">
        <v>70.3</v>
      </c>
      <c r="F8" s="8">
        <v>83.3</v>
      </c>
      <c r="G8" s="8">
        <v>80.1</v>
      </c>
      <c r="H8" s="8">
        <v>96.4</v>
      </c>
      <c r="I8" s="8">
        <v>99.8</v>
      </c>
    </row>
    <row r="9" spans="1:9">
      <c r="A9" s="7" t="s">
        <v>9</v>
      </c>
      <c r="B9" s="7" t="s">
        <v>12</v>
      </c>
      <c r="C9" s="7" t="s">
        <v>15</v>
      </c>
      <c r="D9" s="8">
        <v>82</v>
      </c>
      <c r="E9" s="8">
        <v>83</v>
      </c>
      <c r="F9" s="8">
        <v>81.2</v>
      </c>
      <c r="G9" s="8">
        <v>98.6</v>
      </c>
      <c r="H9" s="8">
        <v>100</v>
      </c>
      <c r="I9" s="8">
        <v>100</v>
      </c>
    </row>
    <row r="10" spans="1:9">
      <c r="A10" s="9" t="s">
        <v>9</v>
      </c>
      <c r="B10" s="9" t="s">
        <v>13</v>
      </c>
      <c r="C10" s="9" t="s">
        <v>15</v>
      </c>
      <c r="D10" s="10">
        <v>88.8</v>
      </c>
      <c r="E10" s="10">
        <v>90.8</v>
      </c>
      <c r="F10" s="10">
        <v>86.9</v>
      </c>
      <c r="G10" s="10">
        <v>98.9</v>
      </c>
      <c r="H10" s="10">
        <v>100</v>
      </c>
      <c r="I10" s="10">
        <v>100</v>
      </c>
    </row>
    <row r="11" spans="1:9">
      <c r="A11" s="7" t="s">
        <v>9</v>
      </c>
      <c r="B11" s="7" t="s">
        <v>10</v>
      </c>
      <c r="C11" s="7" t="s">
        <v>16</v>
      </c>
      <c r="D11" s="8">
        <v>59</v>
      </c>
      <c r="E11" s="8">
        <v>58.7</v>
      </c>
      <c r="F11" s="8">
        <v>59.4</v>
      </c>
      <c r="G11" s="8">
        <v>64.5</v>
      </c>
      <c r="H11" s="8">
        <v>85.6</v>
      </c>
      <c r="I11" s="8">
        <v>88.9</v>
      </c>
    </row>
    <row r="12" spans="1:9">
      <c r="A12" s="7" t="s">
        <v>9</v>
      </c>
      <c r="B12" s="7" t="s">
        <v>12</v>
      </c>
      <c r="C12" s="7" t="s">
        <v>16</v>
      </c>
      <c r="D12" s="8">
        <v>69.3</v>
      </c>
      <c r="E12" s="8">
        <v>71.3</v>
      </c>
      <c r="F12" s="8">
        <v>67.4</v>
      </c>
      <c r="G12" s="8">
        <v>76.8</v>
      </c>
      <c r="H12" s="8">
        <v>93.2</v>
      </c>
      <c r="I12" s="8">
        <v>95</v>
      </c>
    </row>
    <row r="13" spans="1:9">
      <c r="A13" s="9" t="s">
        <v>9</v>
      </c>
      <c r="B13" s="9" t="s">
        <v>13</v>
      </c>
      <c r="C13" s="9" t="s">
        <v>16</v>
      </c>
      <c r="D13" s="10">
        <v>69.8</v>
      </c>
      <c r="E13" s="10">
        <v>73.7</v>
      </c>
      <c r="F13" s="10">
        <v>66.3</v>
      </c>
      <c r="G13" s="10">
        <v>77.3</v>
      </c>
      <c r="H13" s="10">
        <v>93.2</v>
      </c>
      <c r="I13" s="10">
        <v>95.8</v>
      </c>
    </row>
    <row r="14" spans="1:9">
      <c r="A14" s="7" t="s">
        <v>17</v>
      </c>
      <c r="B14" s="7" t="s">
        <v>10</v>
      </c>
      <c r="C14" s="7" t="s">
        <v>11</v>
      </c>
      <c r="D14" s="8">
        <v>90.3</v>
      </c>
      <c r="E14" s="8">
        <v>88.4</v>
      </c>
      <c r="F14" s="8">
        <v>92.2</v>
      </c>
      <c r="G14" s="8">
        <v>88.7</v>
      </c>
      <c r="H14" s="8">
        <v>98.5</v>
      </c>
      <c r="I14" s="8">
        <v>99.3</v>
      </c>
    </row>
    <row r="15" spans="1:9">
      <c r="A15" s="7" t="s">
        <v>17</v>
      </c>
      <c r="B15" s="7" t="s">
        <v>12</v>
      </c>
      <c r="C15" s="7" t="s">
        <v>11</v>
      </c>
      <c r="D15" s="8">
        <v>96.9</v>
      </c>
      <c r="E15" s="8">
        <v>96.8</v>
      </c>
      <c r="F15" s="8">
        <v>96.9</v>
      </c>
      <c r="G15" s="8">
        <v>99.5</v>
      </c>
      <c r="H15" s="8">
        <v>100</v>
      </c>
      <c r="I15" s="8">
        <v>100</v>
      </c>
    </row>
    <row r="16" spans="1:9">
      <c r="A16" s="9" t="s">
        <v>17</v>
      </c>
      <c r="B16" s="9" t="s">
        <v>13</v>
      </c>
      <c r="C16" s="9" t="s">
        <v>11</v>
      </c>
      <c r="D16" s="10">
        <v>96.8</v>
      </c>
      <c r="E16" s="10">
        <v>98.2</v>
      </c>
      <c r="F16" s="10">
        <v>95.3</v>
      </c>
      <c r="G16" s="10">
        <v>99.3</v>
      </c>
      <c r="H16" s="10">
        <v>100</v>
      </c>
      <c r="I16" s="10">
        <v>100</v>
      </c>
    </row>
    <row r="17" spans="1:9">
      <c r="A17" s="7" t="s">
        <v>17</v>
      </c>
      <c r="B17" s="7" t="s">
        <v>10</v>
      </c>
      <c r="C17" s="7" t="s">
        <v>14</v>
      </c>
      <c r="D17" s="8">
        <v>78.6</v>
      </c>
      <c r="E17" s="8">
        <v>86.9</v>
      </c>
      <c r="F17" s="8">
        <v>75.3</v>
      </c>
      <c r="G17" s="8">
        <v>16.3</v>
      </c>
      <c r="H17" s="8">
        <v>71.6</v>
      </c>
      <c r="I17" s="8">
        <v>93.4</v>
      </c>
    </row>
    <row r="18" spans="1:9">
      <c r="A18" s="7" t="s">
        <v>17</v>
      </c>
      <c r="B18" s="7" t="s">
        <v>12</v>
      </c>
      <c r="C18" s="7" t="s">
        <v>14</v>
      </c>
      <c r="D18" s="8">
        <v>80.6</v>
      </c>
      <c r="E18" s="8">
        <v>78.9</v>
      </c>
      <c r="F18" s="8">
        <v>82.3</v>
      </c>
      <c r="G18" s="8">
        <v>96.7</v>
      </c>
      <c r="H18" s="8">
        <v>100</v>
      </c>
      <c r="I18" s="8">
        <v>100</v>
      </c>
    </row>
    <row r="19" spans="1:9">
      <c r="A19" s="9" t="s">
        <v>17</v>
      </c>
      <c r="B19" s="9" t="s">
        <v>13</v>
      </c>
      <c r="C19" s="9" t="s">
        <v>14</v>
      </c>
      <c r="D19" s="10">
        <v>92.6</v>
      </c>
      <c r="E19" s="10">
        <v>91.4</v>
      </c>
      <c r="F19" s="10">
        <v>93.9</v>
      </c>
      <c r="G19" s="10">
        <v>95</v>
      </c>
      <c r="H19" s="10">
        <v>100</v>
      </c>
      <c r="I19" s="10">
        <v>100</v>
      </c>
    </row>
    <row r="20" spans="1:9">
      <c r="A20" s="7" t="s">
        <v>17</v>
      </c>
      <c r="B20" s="7" t="s">
        <v>10</v>
      </c>
      <c r="C20" s="7" t="s">
        <v>15</v>
      </c>
      <c r="D20" s="8">
        <v>1.3</v>
      </c>
      <c r="E20" s="8">
        <v>0.8</v>
      </c>
      <c r="F20" s="8">
        <v>3.1</v>
      </c>
      <c r="G20" s="8">
        <v>0.2</v>
      </c>
      <c r="H20" s="8">
        <v>0.7</v>
      </c>
      <c r="I20" s="8">
        <v>1</v>
      </c>
    </row>
    <row r="21" spans="1:9">
      <c r="A21" s="7" t="s">
        <v>17</v>
      </c>
      <c r="B21" s="7" t="s">
        <v>12</v>
      </c>
      <c r="C21" s="7" t="s">
        <v>15</v>
      </c>
      <c r="D21" s="8">
        <v>1.3</v>
      </c>
      <c r="E21" s="8">
        <v>2.35</v>
      </c>
      <c r="F21" s="8">
        <v>0.95</v>
      </c>
      <c r="G21" s="8">
        <v>1.4</v>
      </c>
      <c r="H21" s="8">
        <v>6.4</v>
      </c>
      <c r="I21" s="8">
        <v>11.4</v>
      </c>
    </row>
    <row r="22" spans="1:9">
      <c r="A22" s="9" t="s">
        <v>17</v>
      </c>
      <c r="B22" s="9" t="s">
        <v>13</v>
      </c>
      <c r="C22" s="9" t="s">
        <v>15</v>
      </c>
      <c r="D22" s="10">
        <v>8.7</v>
      </c>
      <c r="E22" s="10">
        <v>6.7</v>
      </c>
      <c r="F22" s="10">
        <v>12.2</v>
      </c>
      <c r="G22" s="10">
        <v>16.7</v>
      </c>
      <c r="H22" s="10">
        <v>36.7</v>
      </c>
      <c r="I22" s="10">
        <v>53.4</v>
      </c>
    </row>
    <row r="23" spans="1:9">
      <c r="A23" s="7" t="s">
        <v>17</v>
      </c>
      <c r="B23" s="7" t="s">
        <v>10</v>
      </c>
      <c r="C23" s="7" t="s">
        <v>16</v>
      </c>
      <c r="D23" s="8">
        <v>41</v>
      </c>
      <c r="E23" s="8">
        <v>38.2</v>
      </c>
      <c r="F23" s="8">
        <v>49</v>
      </c>
      <c r="G23" s="8">
        <v>53.1</v>
      </c>
      <c r="H23" s="8">
        <v>75.1</v>
      </c>
      <c r="I23" s="8">
        <v>82</v>
      </c>
    </row>
    <row r="24" spans="1:9">
      <c r="A24" s="7" t="s">
        <v>17</v>
      </c>
      <c r="B24" s="7" t="s">
        <v>12</v>
      </c>
      <c r="C24" s="7" t="s">
        <v>16</v>
      </c>
      <c r="D24" s="8">
        <v>49.3</v>
      </c>
      <c r="E24" s="8">
        <v>48.44</v>
      </c>
      <c r="F24" s="8">
        <v>50.24</v>
      </c>
      <c r="G24" s="8">
        <v>54.5</v>
      </c>
      <c r="H24" s="8">
        <v>75.2</v>
      </c>
      <c r="I24" s="8">
        <v>82</v>
      </c>
    </row>
    <row r="25" spans="1:9">
      <c r="A25" s="9" t="s">
        <v>17</v>
      </c>
      <c r="B25" s="9" t="s">
        <v>13</v>
      </c>
      <c r="C25" s="9" t="s">
        <v>16</v>
      </c>
      <c r="D25" s="10">
        <v>65.8</v>
      </c>
      <c r="E25" s="10">
        <v>68.6</v>
      </c>
      <c r="F25" s="10">
        <v>63.3</v>
      </c>
      <c r="G25" s="10">
        <v>67.9</v>
      </c>
      <c r="H25" s="10">
        <v>86.7</v>
      </c>
      <c r="I25" s="10">
        <v>90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1" sqref="A1"/>
    </sheetView>
  </sheetViews>
  <sheetFormatPr defaultColWidth="9" defaultRowHeight="14.25" outlineLevelCol="5"/>
  <cols>
    <col min="1" max="1" width="16" customWidth="1"/>
    <col min="2" max="2" width="21" customWidth="1"/>
    <col min="3" max="6" width="20" customWidth="1"/>
  </cols>
  <sheetData>
    <row r="1" ht="15" spans="1:6">
      <c r="A1" s="4" t="s">
        <v>0</v>
      </c>
      <c r="B1" s="4" t="s">
        <v>2</v>
      </c>
      <c r="C1" s="4" t="s">
        <v>10</v>
      </c>
      <c r="D1" s="4" t="s">
        <v>12</v>
      </c>
      <c r="E1" s="4" t="s">
        <v>13</v>
      </c>
      <c r="F1" s="4" t="s">
        <v>18</v>
      </c>
    </row>
    <row r="2" spans="1:6">
      <c r="A2" t="s">
        <v>9</v>
      </c>
      <c r="B2" t="s">
        <v>11</v>
      </c>
      <c r="C2" s="5">
        <v>93.2</v>
      </c>
      <c r="D2" s="5">
        <v>94.5</v>
      </c>
      <c r="E2" s="5">
        <v>96.2</v>
      </c>
      <c r="F2" s="5">
        <f t="shared" ref="F2:F9" si="0">E2-MAX(C2:D2)</f>
        <v>1.7</v>
      </c>
    </row>
    <row r="3" spans="1:6">
      <c r="A3" t="s">
        <v>9</v>
      </c>
      <c r="B3" t="s">
        <v>14</v>
      </c>
      <c r="C3" s="5">
        <v>90.2</v>
      </c>
      <c r="D3" s="5">
        <v>94.4</v>
      </c>
      <c r="E3" s="5">
        <v>96.7</v>
      </c>
      <c r="F3" s="5">
        <f t="shared" si="0"/>
        <v>2.3</v>
      </c>
    </row>
    <row r="4" spans="1:6">
      <c r="A4" t="s">
        <v>9</v>
      </c>
      <c r="B4" t="s">
        <v>15</v>
      </c>
      <c r="C4" s="5">
        <v>76.3</v>
      </c>
      <c r="D4" s="5">
        <v>82</v>
      </c>
      <c r="E4" s="5">
        <v>88.8</v>
      </c>
      <c r="F4" s="5">
        <f t="shared" si="0"/>
        <v>6.8</v>
      </c>
    </row>
    <row r="5" spans="1:6">
      <c r="A5" t="s">
        <v>9</v>
      </c>
      <c r="B5" t="s">
        <v>16</v>
      </c>
      <c r="C5" s="5">
        <v>59</v>
      </c>
      <c r="D5" s="5">
        <v>69.3</v>
      </c>
      <c r="E5" s="5">
        <v>69.8</v>
      </c>
      <c r="F5" s="5">
        <f t="shared" si="0"/>
        <v>0.5</v>
      </c>
    </row>
    <row r="6" spans="1:6">
      <c r="A6" t="s">
        <v>17</v>
      </c>
      <c r="B6" t="s">
        <v>11</v>
      </c>
      <c r="C6" s="5">
        <v>90.3</v>
      </c>
      <c r="D6" s="5">
        <v>96.9</v>
      </c>
      <c r="E6" s="5">
        <v>96.8</v>
      </c>
      <c r="F6" s="5">
        <f t="shared" si="0"/>
        <v>-0.100000000000009</v>
      </c>
    </row>
    <row r="7" spans="1:6">
      <c r="A7" t="s">
        <v>17</v>
      </c>
      <c r="B7" t="s">
        <v>14</v>
      </c>
      <c r="C7" s="5">
        <v>78.6</v>
      </c>
      <c r="D7" s="5">
        <v>80.6</v>
      </c>
      <c r="E7" s="5">
        <v>92.6</v>
      </c>
      <c r="F7" s="5">
        <f t="shared" si="0"/>
        <v>12</v>
      </c>
    </row>
    <row r="8" spans="1:6">
      <c r="A8" t="s">
        <v>17</v>
      </c>
      <c r="B8" t="s">
        <v>15</v>
      </c>
      <c r="C8" s="5">
        <v>1.3</v>
      </c>
      <c r="D8" s="5">
        <v>1.3</v>
      </c>
      <c r="E8" s="5">
        <v>8.7</v>
      </c>
      <c r="F8" s="5">
        <f t="shared" si="0"/>
        <v>7.4</v>
      </c>
    </row>
    <row r="9" spans="1:6">
      <c r="A9" t="s">
        <v>17</v>
      </c>
      <c r="B9" t="s">
        <v>16</v>
      </c>
      <c r="C9" s="5">
        <v>41</v>
      </c>
      <c r="D9" s="5">
        <v>49.3</v>
      </c>
      <c r="E9" s="5">
        <v>65.8</v>
      </c>
      <c r="F9" s="5">
        <f t="shared" si="0"/>
        <v>16.5</v>
      </c>
    </row>
    <row r="10" spans="1:6">
      <c r="C10" s="5"/>
      <c r="D10" s="5"/>
      <c r="E10" s="5"/>
      <c r="F10" s="5"/>
    </row>
    <row r="11" spans="1:6">
      <c r="C11" s="5"/>
      <c r="D11" s="5"/>
      <c r="E11" s="5"/>
      <c r="F11" s="5"/>
    </row>
    <row r="12" ht="15" spans="1:6">
      <c r="A12" s="4" t="s">
        <v>0</v>
      </c>
      <c r="B12" s="4" t="s">
        <v>19</v>
      </c>
      <c r="C12" s="6" t="s">
        <v>10</v>
      </c>
      <c r="D12" s="6" t="s">
        <v>12</v>
      </c>
      <c r="E12" s="6" t="s">
        <v>13</v>
      </c>
      <c r="F12" s="6" t="s">
        <v>18</v>
      </c>
    </row>
    <row r="13" spans="1:6">
      <c r="A13" t="s">
        <v>9</v>
      </c>
      <c r="B13" t="s">
        <v>20</v>
      </c>
      <c r="C13" s="5">
        <f>AVERAGE(C2:C5)</f>
        <v>79.675</v>
      </c>
      <c r="D13" s="5">
        <f>AVERAGE(D2:D5)</f>
        <v>85.05</v>
      </c>
      <c r="E13" s="5">
        <f>AVERAGE(E2:E5)</f>
        <v>87.875</v>
      </c>
      <c r="F13" s="5">
        <f>E13-MAX(C13:D13)</f>
        <v>2.825</v>
      </c>
    </row>
    <row r="14" spans="1:6">
      <c r="A14" t="s">
        <v>17</v>
      </c>
      <c r="B14" t="s">
        <v>20</v>
      </c>
      <c r="C14" s="5">
        <f>AVERAGE(C6:C9)</f>
        <v>52.8</v>
      </c>
      <c r="D14" s="5">
        <f>AVERAGE(D6:D9)</f>
        <v>57.025</v>
      </c>
      <c r="E14" s="5">
        <f>AVERAGE(E6:E9)</f>
        <v>65.975</v>
      </c>
      <c r="F14" s="5">
        <f>E14-MAX(C14:D14)</f>
        <v>8.94999999999999</v>
      </c>
    </row>
  </sheetData>
  <conditionalFormatting sqref="F2:F9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workbookViewId="0">
      <selection activeCell="A1" sqref="A1"/>
    </sheetView>
  </sheetViews>
  <sheetFormatPr defaultColWidth="9" defaultRowHeight="14.25" outlineLevelCol="5"/>
  <cols>
    <col min="1" max="1" width="16" customWidth="1"/>
    <col min="2" max="2" width="21" customWidth="1"/>
    <col min="3" max="3" width="12" customWidth="1"/>
    <col min="4" max="6" width="11" customWidth="1"/>
  </cols>
  <sheetData>
    <row r="1" ht="15" spans="1:6">
      <c r="A1" s="4" t="s">
        <v>0</v>
      </c>
      <c r="B1" s="4" t="s">
        <v>2</v>
      </c>
      <c r="C1" s="4" t="s">
        <v>1</v>
      </c>
      <c r="D1" s="4" t="s">
        <v>6</v>
      </c>
      <c r="E1" s="4" t="s">
        <v>7</v>
      </c>
      <c r="F1" s="4" t="s">
        <v>8</v>
      </c>
    </row>
    <row r="2" spans="1:6">
      <c r="A2" t="s">
        <v>9</v>
      </c>
      <c r="B2" t="s">
        <v>11</v>
      </c>
      <c r="C2" t="s">
        <v>10</v>
      </c>
      <c r="D2" s="5">
        <v>96.7</v>
      </c>
      <c r="E2" s="5">
        <v>99</v>
      </c>
      <c r="F2" s="5">
        <v>99.4</v>
      </c>
    </row>
    <row r="3" spans="1:6">
      <c r="A3" t="s">
        <v>9</v>
      </c>
      <c r="B3" t="s">
        <v>11</v>
      </c>
      <c r="C3" t="s">
        <v>12</v>
      </c>
      <c r="D3" s="5">
        <v>98.8</v>
      </c>
      <c r="E3" s="5">
        <v>99.8</v>
      </c>
      <c r="F3" s="5">
        <v>99.9</v>
      </c>
    </row>
    <row r="4" spans="1:6">
      <c r="A4" t="s">
        <v>9</v>
      </c>
      <c r="B4" t="s">
        <v>11</v>
      </c>
      <c r="C4" t="s">
        <v>13</v>
      </c>
      <c r="D4" s="5">
        <v>99.1</v>
      </c>
      <c r="E4" s="5">
        <v>99.8</v>
      </c>
      <c r="F4" s="5">
        <v>99.8</v>
      </c>
    </row>
    <row r="5" spans="1:6">
      <c r="A5" t="s">
        <v>9</v>
      </c>
      <c r="B5" t="s">
        <v>14</v>
      </c>
      <c r="C5" t="s">
        <v>10</v>
      </c>
      <c r="D5" s="5">
        <v>98.3</v>
      </c>
      <c r="E5" s="5">
        <v>99.8</v>
      </c>
      <c r="F5" s="5">
        <v>100</v>
      </c>
    </row>
    <row r="6" spans="1:6">
      <c r="A6" t="s">
        <v>9</v>
      </c>
      <c r="B6" t="s">
        <v>14</v>
      </c>
      <c r="C6" t="s">
        <v>12</v>
      </c>
      <c r="D6" s="5">
        <v>100</v>
      </c>
      <c r="E6" s="5">
        <v>100</v>
      </c>
      <c r="F6" s="5">
        <v>100</v>
      </c>
    </row>
    <row r="7" spans="1:6">
      <c r="A7" t="s">
        <v>9</v>
      </c>
      <c r="B7" t="s">
        <v>14</v>
      </c>
      <c r="C7" t="s">
        <v>13</v>
      </c>
      <c r="D7" s="5">
        <v>100</v>
      </c>
      <c r="E7" s="5">
        <v>100</v>
      </c>
      <c r="F7" s="5">
        <v>100</v>
      </c>
    </row>
    <row r="8" spans="1:6">
      <c r="A8" t="s">
        <v>9</v>
      </c>
      <c r="B8" t="s">
        <v>15</v>
      </c>
      <c r="C8" t="s">
        <v>10</v>
      </c>
      <c r="D8" s="5">
        <v>80.1</v>
      </c>
      <c r="E8" s="5">
        <v>96.4</v>
      </c>
      <c r="F8" s="5">
        <v>99.8</v>
      </c>
    </row>
    <row r="9" spans="1:6">
      <c r="A9" t="s">
        <v>9</v>
      </c>
      <c r="B9" t="s">
        <v>15</v>
      </c>
      <c r="C9" t="s">
        <v>12</v>
      </c>
      <c r="D9" s="5">
        <v>98.6</v>
      </c>
      <c r="E9" s="5">
        <v>100</v>
      </c>
      <c r="F9" s="5">
        <v>100</v>
      </c>
    </row>
    <row r="10" spans="1:6">
      <c r="A10" t="s">
        <v>9</v>
      </c>
      <c r="B10" t="s">
        <v>15</v>
      </c>
      <c r="C10" t="s">
        <v>13</v>
      </c>
      <c r="D10" s="5">
        <v>98.9</v>
      </c>
      <c r="E10" s="5">
        <v>100</v>
      </c>
      <c r="F10" s="5">
        <v>100</v>
      </c>
    </row>
    <row r="11" spans="1:6">
      <c r="A11" t="s">
        <v>9</v>
      </c>
      <c r="B11" t="s">
        <v>16</v>
      </c>
      <c r="C11" t="s">
        <v>10</v>
      </c>
      <c r="D11" s="5">
        <v>64.5</v>
      </c>
      <c r="E11" s="5">
        <v>85.6</v>
      </c>
      <c r="F11" s="5">
        <v>88.9</v>
      </c>
    </row>
    <row r="12" spans="1:6">
      <c r="A12" t="s">
        <v>9</v>
      </c>
      <c r="B12" t="s">
        <v>16</v>
      </c>
      <c r="C12" t="s">
        <v>12</v>
      </c>
      <c r="D12" s="5">
        <v>76.8</v>
      </c>
      <c r="E12" s="5">
        <v>93.2</v>
      </c>
      <c r="F12" s="5">
        <v>95</v>
      </c>
    </row>
    <row r="13" spans="1:6">
      <c r="A13" t="s">
        <v>9</v>
      </c>
      <c r="B13" t="s">
        <v>16</v>
      </c>
      <c r="C13" t="s">
        <v>13</v>
      </c>
      <c r="D13" s="5">
        <v>77.3</v>
      </c>
      <c r="E13" s="5">
        <v>93.2</v>
      </c>
      <c r="F13" s="5">
        <v>95.8</v>
      </c>
    </row>
    <row r="14" spans="1:6">
      <c r="A14" t="s">
        <v>17</v>
      </c>
      <c r="B14" t="s">
        <v>11</v>
      </c>
      <c r="C14" t="s">
        <v>10</v>
      </c>
      <c r="D14" s="5">
        <v>88.7</v>
      </c>
      <c r="E14" s="5">
        <v>98.5</v>
      </c>
      <c r="F14" s="5">
        <v>99.3</v>
      </c>
    </row>
    <row r="15" spans="1:6">
      <c r="A15" t="s">
        <v>17</v>
      </c>
      <c r="B15" t="s">
        <v>11</v>
      </c>
      <c r="C15" t="s">
        <v>12</v>
      </c>
      <c r="D15" s="5">
        <v>99.5</v>
      </c>
      <c r="E15" s="5">
        <v>100</v>
      </c>
      <c r="F15" s="5">
        <v>100</v>
      </c>
    </row>
    <row r="16" spans="1:6">
      <c r="A16" t="s">
        <v>17</v>
      </c>
      <c r="B16" t="s">
        <v>11</v>
      </c>
      <c r="C16" t="s">
        <v>13</v>
      </c>
      <c r="D16" s="5">
        <v>99.3</v>
      </c>
      <c r="E16" s="5">
        <v>100</v>
      </c>
      <c r="F16" s="5">
        <v>100</v>
      </c>
    </row>
    <row r="17" spans="1:6">
      <c r="A17" t="s">
        <v>17</v>
      </c>
      <c r="B17" t="s">
        <v>14</v>
      </c>
      <c r="C17" t="s">
        <v>10</v>
      </c>
      <c r="D17" s="5">
        <v>16.3</v>
      </c>
      <c r="E17" s="5">
        <v>71.6</v>
      </c>
      <c r="F17" s="5">
        <v>93.4</v>
      </c>
    </row>
    <row r="18" spans="1:6">
      <c r="A18" t="s">
        <v>17</v>
      </c>
      <c r="B18" t="s">
        <v>14</v>
      </c>
      <c r="C18" t="s">
        <v>12</v>
      </c>
      <c r="D18" s="5">
        <v>96.7</v>
      </c>
      <c r="E18" s="5">
        <v>100</v>
      </c>
      <c r="F18" s="5">
        <v>100</v>
      </c>
    </row>
    <row r="19" spans="1:6">
      <c r="A19" t="s">
        <v>17</v>
      </c>
      <c r="B19" t="s">
        <v>14</v>
      </c>
      <c r="C19" t="s">
        <v>13</v>
      </c>
      <c r="D19" s="5">
        <v>95</v>
      </c>
      <c r="E19" s="5">
        <v>100</v>
      </c>
      <c r="F19" s="5">
        <v>100</v>
      </c>
    </row>
    <row r="20" spans="1:6">
      <c r="A20" t="s">
        <v>17</v>
      </c>
      <c r="B20" t="s">
        <v>15</v>
      </c>
      <c r="C20" t="s">
        <v>10</v>
      </c>
      <c r="D20" s="5">
        <v>0.2</v>
      </c>
      <c r="E20" s="5">
        <v>0.7</v>
      </c>
      <c r="F20" s="5">
        <v>1</v>
      </c>
    </row>
    <row r="21" spans="1:6">
      <c r="A21" t="s">
        <v>17</v>
      </c>
      <c r="B21" t="s">
        <v>15</v>
      </c>
      <c r="C21" t="s">
        <v>12</v>
      </c>
      <c r="D21" s="5">
        <v>1.4</v>
      </c>
      <c r="E21" s="5">
        <v>6.4</v>
      </c>
      <c r="F21" s="5">
        <v>11.4</v>
      </c>
    </row>
    <row r="22" spans="1:6">
      <c r="A22" t="s">
        <v>17</v>
      </c>
      <c r="B22" t="s">
        <v>15</v>
      </c>
      <c r="C22" t="s">
        <v>13</v>
      </c>
      <c r="D22" s="5">
        <v>16.7</v>
      </c>
      <c r="E22" s="5">
        <v>36.7</v>
      </c>
      <c r="F22" s="5">
        <v>53.4</v>
      </c>
    </row>
    <row r="23" spans="1:6">
      <c r="A23" t="s">
        <v>17</v>
      </c>
      <c r="B23" t="s">
        <v>16</v>
      </c>
      <c r="C23" t="s">
        <v>10</v>
      </c>
      <c r="D23" s="5">
        <v>53.1</v>
      </c>
      <c r="E23" s="5">
        <v>75.1</v>
      </c>
      <c r="F23" s="5">
        <v>82</v>
      </c>
    </row>
    <row r="24" spans="1:6">
      <c r="A24" t="s">
        <v>17</v>
      </c>
      <c r="B24" t="s">
        <v>16</v>
      </c>
      <c r="C24" t="s">
        <v>12</v>
      </c>
      <c r="D24" s="5">
        <v>54.5</v>
      </c>
      <c r="E24" s="5">
        <v>75.2</v>
      </c>
      <c r="F24" s="5">
        <v>82</v>
      </c>
    </row>
    <row r="25" spans="1:6">
      <c r="A25" t="s">
        <v>17</v>
      </c>
      <c r="B25" t="s">
        <v>16</v>
      </c>
      <c r="C25" t="s">
        <v>13</v>
      </c>
      <c r="D25" s="5">
        <v>67.9</v>
      </c>
      <c r="E25" s="5">
        <v>86.7</v>
      </c>
      <c r="F25" s="5">
        <v>90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4.25" outlineLevelRow="7" outlineLevelCol="1"/>
  <cols>
    <col min="1" max="1" width="24" customWidth="1"/>
    <col min="2" max="2" width="92" customWidth="1"/>
  </cols>
  <sheetData>
    <row r="1" ht="15" spans="1:2">
      <c r="A1" s="1" t="s">
        <v>21</v>
      </c>
      <c r="B1" s="1" t="s">
        <v>22</v>
      </c>
    </row>
    <row r="2" spans="1:2">
      <c r="A2" s="2" t="s">
        <v>23</v>
      </c>
      <c r="B2" s="3" t="s">
        <v>24</v>
      </c>
    </row>
    <row r="3" spans="1:2">
      <c r="A3" s="2" t="s">
        <v>25</v>
      </c>
      <c r="B3" s="3" t="s">
        <v>26</v>
      </c>
    </row>
    <row r="4" spans="1:2">
      <c r="A4" s="2" t="s">
        <v>27</v>
      </c>
      <c r="B4" s="3" t="s">
        <v>28</v>
      </c>
    </row>
    <row r="5" spans="1:2">
      <c r="A5" s="2" t="s">
        <v>29</v>
      </c>
      <c r="B5" s="3" t="s">
        <v>30</v>
      </c>
    </row>
    <row r="6" spans="1:2">
      <c r="A6" s="2" t="s">
        <v>31</v>
      </c>
      <c r="B6" s="3" t="s">
        <v>32</v>
      </c>
    </row>
    <row r="7" spans="1:2">
      <c r="A7" s="2" t="s">
        <v>33</v>
      </c>
      <c r="B7" s="3" t="s">
        <v>34</v>
      </c>
    </row>
    <row r="8" ht="28.5" spans="1:2">
      <c r="A8" s="2" t="s">
        <v>35</v>
      </c>
      <c r="B8" s="3" t="s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Results_Long</vt:lpstr>
      <vt:lpstr>F1_Summary</vt:lpstr>
      <vt:lpstr>Ranking_Summary</vt:lpstr>
      <vt:lpstr>Paper_Notes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Quanwei</cp:lastModifiedBy>
  <dcterms:created xsi:type="dcterms:W3CDTF">2026-07-14T10:37:32Z</dcterms:created>
  <dcterms:modified xsi:type="dcterms:W3CDTF">2026-07-14T10:38:14Z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7BCD8DF61F474B36A902BB633C565177_12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